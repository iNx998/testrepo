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B4E5861-6122-489E-A22B-32DF8FDA0C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vot1" sheetId="4" r:id="rId1"/>
    <sheet name="Pivot2" sheetId="6" r:id="rId2"/>
    <sheet name="Pivot3" sheetId="7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</pivotCaches>
</workbook>
</file>

<file path=xl/calcChain.xml><?xml version="1.0" encoding="utf-8"?>
<calcChain xmlns="http://schemas.openxmlformats.org/spreadsheetml/2006/main">
  <c r="F49" i="1" l="1"/>
  <c r="F48" i="1"/>
  <c r="F47" i="1"/>
  <c r="F46" i="1"/>
  <c r="F45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<sst xmlns="http://schemas.openxmlformats.org/spreadsheetml/2006/main" count="165" uniqueCount="37">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</sst>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[Montgomery_Fleet_Equipment_Inventory_FA_PART_2_END.xlsxN.xlsx]Pivot1!PivotTable9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Pivot1!$A$4:$A$16</c:f>
              <c:strCache>
                <c:ptCount val="12"/>
                <c:pt idx="0">
                  <c:v>Housing and Community Affairs</c:v>
                </c:pt>
                <c:pt idx="1">
                  <c:v>Human Rights</c:v>
                </c:pt>
                <c:pt idx="2">
                  <c:v>Libraries</c:v>
                </c:pt>
                <c:pt idx="3">
                  <c:v>Liquor Control</c:v>
                </c:pt>
                <c:pt idx="4">
                  <c:v>Office Of Homeland Security</c:v>
                </c:pt>
                <c:pt idx="5">
                  <c:v>Permitting Services</c:v>
                </c:pt>
                <c:pt idx="6">
                  <c:v>Public Information Office</c:v>
                </c:pt>
                <c:pt idx="7">
                  <c:v>Recreation</c:v>
                </c:pt>
                <c:pt idx="8">
                  <c:v>Sheriffs Office</c:v>
                </c:pt>
                <c:pt idx="9">
                  <c:v>State Attorneys Office</c:v>
                </c:pt>
                <c:pt idx="10">
                  <c:v>Technology Services</c:v>
                </c:pt>
                <c:pt idx="11">
                  <c:v>Transportation</c:v>
                </c:pt>
              </c:strCache>
            </c:strRef>
          </c:cat>
          <c:val>
            <c:numRef>
              <c:f>Pivot1!$B$4:$B$16</c:f>
              <c:numCache>
                <c:formatCode>General</c:formatCode>
                <c:ptCount val="12"/>
                <c:pt idx="0">
                  <c:v>45</c:v>
                </c:pt>
                <c:pt idx="1">
                  <c:v>2</c:v>
                </c:pt>
                <c:pt idx="2">
                  <c:v>6</c:v>
                </c:pt>
                <c:pt idx="3">
                  <c:v>56</c:v>
                </c:pt>
                <c:pt idx="4">
                  <c:v>1</c:v>
                </c:pt>
                <c:pt idx="5">
                  <c:v>109</c:v>
                </c:pt>
                <c:pt idx="6">
                  <c:v>1</c:v>
                </c:pt>
                <c:pt idx="7">
                  <c:v>35</c:v>
                </c:pt>
                <c:pt idx="8">
                  <c:v>85</c:v>
                </c:pt>
                <c:pt idx="9">
                  <c:v>5</c:v>
                </c:pt>
                <c:pt idx="10">
                  <c:v>16</c:v>
                </c:pt>
                <c:pt idx="11">
                  <c:v>1221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2-4C73-8A80-68597363F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498904"/>
        <c:axId val="627499264"/>
      </c:lineChart>
      <c:catAx>
        <c:axId val="62749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99264"/>
        <c:crosses val="autoZero"/>
        <c:auto val="1"/>
        <c:lblAlgn val="ctr"/>
        <c:lblOffset val="100"/>
        <c:noMultiLvlLbl val="0"/>
      </c:catAx>
      <c:valAx>
        <c:axId val="6274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9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[Montgomery_Fleet_Equipment_Inventory_FA_PART_2_END.xlsxN.xlsx]Pivot2!PivotTable10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Pivot2!$A$4:$A$25</c:f>
              <c:multiLvlStrCache>
                <c:ptCount val="20"/>
                <c:lvl>
                  <c:pt idx="0">
                    <c:v>CUV</c:v>
                  </c:pt>
                  <c:pt idx="1">
                    <c:v>Heavy Duty</c:v>
                  </c:pt>
                  <c:pt idx="2">
                    <c:v>Medium Duty</c:v>
                  </c:pt>
                  <c:pt idx="3">
                    <c:v>Off Road Vehicle Equipment</c:v>
                  </c:pt>
                  <c:pt idx="4">
                    <c:v>Pick Up Trucks</c:v>
                  </c:pt>
                  <c:pt idx="5">
                    <c:v>Sedan</c:v>
                  </c:pt>
                  <c:pt idx="6">
                    <c:v>SUV</c:v>
                  </c:pt>
                  <c:pt idx="7">
                    <c:v>Transit Bus</c:v>
                  </c:pt>
                  <c:pt idx="8">
                    <c:v>Van</c:v>
                  </c:pt>
                </c:lvl>
                <c:lvl>
                  <c:pt idx="0">
                    <c:v>Transportation</c:v>
                  </c:pt>
                  <c:pt idx="9">
                    <c:v>Permitting Services</c:v>
                  </c:pt>
                  <c:pt idx="10">
                    <c:v>Sheriffs Office</c:v>
                  </c:pt>
                  <c:pt idx="11">
                    <c:v>Liquor Control</c:v>
                  </c:pt>
                  <c:pt idx="12">
                    <c:v>Housing and Community Affairs</c:v>
                  </c:pt>
                  <c:pt idx="13">
                    <c:v>Recreation</c:v>
                  </c:pt>
                  <c:pt idx="14">
                    <c:v>Technology Services</c:v>
                  </c:pt>
                  <c:pt idx="15">
                    <c:v>Libraries</c:v>
                  </c:pt>
                  <c:pt idx="16">
                    <c:v>State Attorneys Office</c:v>
                  </c:pt>
                  <c:pt idx="17">
                    <c:v>Human Rights</c:v>
                  </c:pt>
                  <c:pt idx="18">
                    <c:v>Office Of Homeland Security</c:v>
                  </c:pt>
                  <c:pt idx="19">
                    <c:v>Public Information Office</c:v>
                  </c:pt>
                </c:lvl>
              </c:multiLvlStrCache>
            </c:multiLvlStrRef>
          </c:cat>
          <c:val>
            <c:numRef>
              <c:f>Pivot2!$B$4:$B$25</c:f>
              <c:numCache>
                <c:formatCode>General</c:formatCode>
                <c:ptCount val="20"/>
                <c:pt idx="0">
                  <c:v>5</c:v>
                </c:pt>
                <c:pt idx="1">
                  <c:v>248</c:v>
                </c:pt>
                <c:pt idx="2">
                  <c:v>98</c:v>
                </c:pt>
                <c:pt idx="3">
                  <c:v>276</c:v>
                </c:pt>
                <c:pt idx="4">
                  <c:v>93</c:v>
                </c:pt>
                <c:pt idx="5">
                  <c:v>37</c:v>
                </c:pt>
                <c:pt idx="6">
                  <c:v>53</c:v>
                </c:pt>
                <c:pt idx="7">
                  <c:v>379</c:v>
                </c:pt>
                <c:pt idx="8">
                  <c:v>32</c:v>
                </c:pt>
                <c:pt idx="9">
                  <c:v>109</c:v>
                </c:pt>
                <c:pt idx="10">
                  <c:v>85</c:v>
                </c:pt>
                <c:pt idx="11">
                  <c:v>56</c:v>
                </c:pt>
                <c:pt idx="12">
                  <c:v>45</c:v>
                </c:pt>
                <c:pt idx="13">
                  <c:v>35</c:v>
                </c:pt>
                <c:pt idx="14">
                  <c:v>16</c:v>
                </c:pt>
                <c:pt idx="15">
                  <c:v>6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D-41A1-8ACF-AC808B114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4119320"/>
        <c:axId val="294119680"/>
      </c:barChart>
      <c:catAx>
        <c:axId val="29411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19680"/>
        <c:crosses val="autoZero"/>
        <c:auto val="1"/>
        <c:lblAlgn val="ctr"/>
        <c:lblOffset val="100"/>
        <c:noMultiLvlLbl val="0"/>
      </c:catAx>
      <c:valAx>
        <c:axId val="2941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1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[Montgomery_Fleet_Equipment_Inventory_FA_PART_2_END.xlsxN.xlsx]Pivot3!PivotTable11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Pivot3!$A$4:$A$21</c:f>
              <c:multiLvlStrCache>
                <c:ptCount val="16"/>
                <c:lvl>
                  <c:pt idx="0">
                    <c:v>Permitting Services</c:v>
                  </c:pt>
                  <c:pt idx="1">
                    <c:v>Transportation</c:v>
                  </c:pt>
                  <c:pt idx="2">
                    <c:v>Technology Services</c:v>
                  </c:pt>
                </c:lvl>
                <c:lvl>
                  <c:pt idx="0">
                    <c:v>CUV</c:v>
                  </c:pt>
                  <c:pt idx="3">
                    <c:v>Heavy Duty</c:v>
                  </c:pt>
                  <c:pt idx="4">
                    <c:v>Medium Duty</c:v>
                  </c:pt>
                  <c:pt idx="5">
                    <c:v>Off Road Vehicle Equipment</c:v>
                  </c:pt>
                  <c:pt idx="6">
                    <c:v>Pick Up Trucks</c:v>
                  </c:pt>
                  <c:pt idx="7">
                    <c:v>Public Safety CUV</c:v>
                  </c:pt>
                  <c:pt idx="8">
                    <c:v>Public Safety Pick Up Trucks</c:v>
                  </c:pt>
                  <c:pt idx="9">
                    <c:v>Public Safety Sedan</c:v>
                  </c:pt>
                  <c:pt idx="10">
                    <c:v>Public Safety SUV</c:v>
                  </c:pt>
                  <c:pt idx="11">
                    <c:v>Public Safety Van</c:v>
                  </c:pt>
                  <c:pt idx="12">
                    <c:v>Sedan</c:v>
                  </c:pt>
                  <c:pt idx="13">
                    <c:v>SUV</c:v>
                  </c:pt>
                  <c:pt idx="14">
                    <c:v>Transit Bus</c:v>
                  </c:pt>
                  <c:pt idx="15">
                    <c:v>Van</c:v>
                  </c:pt>
                </c:lvl>
              </c:multiLvlStrCache>
            </c:multiLvlStrRef>
          </c:cat>
          <c:val>
            <c:numRef>
              <c:f>Pivot3!$B$4:$B$21</c:f>
              <c:numCache>
                <c:formatCode>General</c:formatCode>
                <c:ptCount val="16"/>
                <c:pt idx="0">
                  <c:v>9</c:v>
                </c:pt>
                <c:pt idx="1">
                  <c:v>5</c:v>
                </c:pt>
                <c:pt idx="2">
                  <c:v>1</c:v>
                </c:pt>
                <c:pt idx="3">
                  <c:v>290</c:v>
                </c:pt>
                <c:pt idx="4">
                  <c:v>100</c:v>
                </c:pt>
                <c:pt idx="5">
                  <c:v>283</c:v>
                </c:pt>
                <c:pt idx="6">
                  <c:v>150</c:v>
                </c:pt>
                <c:pt idx="7">
                  <c:v>4</c:v>
                </c:pt>
                <c:pt idx="8">
                  <c:v>1</c:v>
                </c:pt>
                <c:pt idx="9">
                  <c:v>47</c:v>
                </c:pt>
                <c:pt idx="10">
                  <c:v>20</c:v>
                </c:pt>
                <c:pt idx="11">
                  <c:v>8</c:v>
                </c:pt>
                <c:pt idx="12">
                  <c:v>130</c:v>
                </c:pt>
                <c:pt idx="13">
                  <c:v>90</c:v>
                </c:pt>
                <c:pt idx="14">
                  <c:v>379</c:v>
                </c:pt>
                <c:pt idx="1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B-4FB4-A624-9A3D602BB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2605120"/>
        <c:axId val="642605840"/>
      </c:barChart>
      <c:catAx>
        <c:axId val="64260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05840"/>
        <c:crosses val="autoZero"/>
        <c:auto val="1"/>
        <c:lblAlgn val="ctr"/>
        <c:lblOffset val="100"/>
        <c:noMultiLvlLbl val="0"/>
      </c:catAx>
      <c:valAx>
        <c:axId val="64260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0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176211</xdr:rowOff>
    </xdr:from>
    <xdr:to>
      <xdr:col>15</xdr:col>
      <xdr:colOff>542925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6C5E0-45D1-A565-034B-C6E0646E6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104775</xdr:rowOff>
    </xdr:from>
    <xdr:to>
      <xdr:col>22</xdr:col>
      <xdr:colOff>85725</xdr:colOff>
      <xdr:row>47</xdr:row>
      <xdr:rowOff>76201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5EFB2B-6FAE-13EF-31C5-7405446AD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176212</xdr:rowOff>
    </xdr:from>
    <xdr:to>
      <xdr:col>18</xdr:col>
      <xdr:colOff>390524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8029F-63EF-3FB3-E2BF-F7817C92C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 de" refreshedDate="45598.747031134262" createdVersion="8" refreshedVersion="8" minRefreshableVersion="3" recordCount="49" xr:uid="{21D797A4-EFF9-4CF3-A6E3-0328B91D4630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0CA44-093E-48EA-82AA-BAF207DC87BD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EA05D-9BFA-419F-99DE-E10D4782BA4B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85B4E-C3B6-4060-A8A5-224F56B4991A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C2E0A-09E5-4E5B-9CC4-4246ED8FBE5E}" name="Table1" displayName="Table1" ref="A1:C50" totalsRowShown="0">
  <autoFilter ref="A1:C50" xr:uid="{AEEC2E0A-09E5-4E5B-9CC4-4246ED8FBE5E}"/>
  <tableColumns count="3">
    <tableColumn id="1" xr3:uid="{1F070006-71CB-44E4-80B3-3F9C4ED6865B}" name="Department"/>
    <tableColumn id="2" xr3:uid="{E316E2CF-209B-4CE5-BED4-FFF83C959955}" name="Equipment Class"/>
    <tableColumn id="3" xr3:uid="{5EED8F44-DF3E-4A3E-88CF-4A7D10F80BE9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D0DE-BC22-4A67-966F-2329B0E51FF1}">
  <dimension ref="A3:B16"/>
  <sheetViews>
    <sheetView tabSelected="1" topLeftCell="B1" workbookViewId="0">
      <selection activeCell="M33" sqref="M3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29</v>
      </c>
      <c r="B3" t="s">
        <v>31</v>
      </c>
    </row>
    <row r="4" spans="1:2" x14ac:dyDescent="0.25">
      <c r="A4" s="2" t="s">
        <v>5</v>
      </c>
      <c r="B4">
        <v>45</v>
      </c>
    </row>
    <row r="5" spans="1:2" x14ac:dyDescent="0.25">
      <c r="A5" s="2" t="s">
        <v>8</v>
      </c>
      <c r="B5">
        <v>2</v>
      </c>
    </row>
    <row r="6" spans="1:2" x14ac:dyDescent="0.25">
      <c r="A6" s="2" t="s">
        <v>9</v>
      </c>
      <c r="B6">
        <v>6</v>
      </c>
    </row>
    <row r="7" spans="1:2" x14ac:dyDescent="0.25">
      <c r="A7" s="2" t="s">
        <v>12</v>
      </c>
      <c r="B7">
        <v>56</v>
      </c>
    </row>
    <row r="8" spans="1:2" x14ac:dyDescent="0.25">
      <c r="A8" s="2" t="s">
        <v>14</v>
      </c>
      <c r="B8">
        <v>1</v>
      </c>
    </row>
    <row r="9" spans="1:2" x14ac:dyDescent="0.25">
      <c r="A9" s="2" t="s">
        <v>15</v>
      </c>
      <c r="B9">
        <v>109</v>
      </c>
    </row>
    <row r="10" spans="1:2" x14ac:dyDescent="0.25">
      <c r="A10" s="2" t="s">
        <v>17</v>
      </c>
      <c r="B10">
        <v>1</v>
      </c>
    </row>
    <row r="11" spans="1:2" x14ac:dyDescent="0.25">
      <c r="A11" s="2" t="s">
        <v>18</v>
      </c>
      <c r="B11">
        <v>35</v>
      </c>
    </row>
    <row r="12" spans="1:2" x14ac:dyDescent="0.25">
      <c r="A12" s="2" t="s">
        <v>19</v>
      </c>
      <c r="B12">
        <v>85</v>
      </c>
    </row>
    <row r="13" spans="1:2" x14ac:dyDescent="0.25">
      <c r="A13" s="2" t="s">
        <v>24</v>
      </c>
      <c r="B13">
        <v>5</v>
      </c>
    </row>
    <row r="14" spans="1:2" x14ac:dyDescent="0.25">
      <c r="A14" s="2" t="s">
        <v>25</v>
      </c>
      <c r="B14">
        <v>16</v>
      </c>
    </row>
    <row r="15" spans="1:2" x14ac:dyDescent="0.25">
      <c r="A15" s="2" t="s">
        <v>26</v>
      </c>
      <c r="B15">
        <v>1221</v>
      </c>
    </row>
    <row r="16" spans="1:2" x14ac:dyDescent="0.25">
      <c r="A16" s="2" t="s">
        <v>30</v>
      </c>
      <c r="B16">
        <v>1582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15DC-B088-4B76-A373-CD3B2946309D}">
  <dimension ref="A3:B25"/>
  <sheetViews>
    <sheetView topLeftCell="A11" workbookViewId="0">
      <selection activeCell="N14" sqref="N14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29</v>
      </c>
      <c r="B3" t="s">
        <v>31</v>
      </c>
    </row>
    <row r="4" spans="1:2" x14ac:dyDescent="0.25">
      <c r="A4" s="2" t="s">
        <v>26</v>
      </c>
      <c r="B4">
        <v>1221</v>
      </c>
    </row>
    <row r="5" spans="1:2" x14ac:dyDescent="0.25">
      <c r="A5" s="3" t="s">
        <v>16</v>
      </c>
      <c r="B5">
        <v>5</v>
      </c>
    </row>
    <row r="6" spans="1:2" x14ac:dyDescent="0.25">
      <c r="A6" s="3" t="s">
        <v>13</v>
      </c>
      <c r="B6">
        <v>248</v>
      </c>
    </row>
    <row r="7" spans="1:2" x14ac:dyDescent="0.25">
      <c r="A7" s="3" t="s">
        <v>11</v>
      </c>
      <c r="B7">
        <v>98</v>
      </c>
    </row>
    <row r="8" spans="1:2" x14ac:dyDescent="0.25">
      <c r="A8" s="3" t="s">
        <v>28</v>
      </c>
      <c r="B8">
        <v>276</v>
      </c>
    </row>
    <row r="9" spans="1:2" x14ac:dyDescent="0.25">
      <c r="A9" s="3" t="s">
        <v>6</v>
      </c>
      <c r="B9">
        <v>93</v>
      </c>
    </row>
    <row r="10" spans="1:2" x14ac:dyDescent="0.25">
      <c r="A10" s="3" t="s">
        <v>4</v>
      </c>
      <c r="B10">
        <v>37</v>
      </c>
    </row>
    <row r="11" spans="1:2" x14ac:dyDescent="0.25">
      <c r="A11" s="3" t="s">
        <v>7</v>
      </c>
      <c r="B11">
        <v>53</v>
      </c>
    </row>
    <row r="12" spans="1:2" x14ac:dyDescent="0.25">
      <c r="A12" s="3" t="s">
        <v>27</v>
      </c>
      <c r="B12">
        <v>379</v>
      </c>
    </row>
    <row r="13" spans="1:2" x14ac:dyDescent="0.25">
      <c r="A13" s="3" t="s">
        <v>10</v>
      </c>
      <c r="B13">
        <v>32</v>
      </c>
    </row>
    <row r="14" spans="1:2" x14ac:dyDescent="0.25">
      <c r="A14" s="2" t="s">
        <v>15</v>
      </c>
      <c r="B14">
        <v>109</v>
      </c>
    </row>
    <row r="15" spans="1:2" x14ac:dyDescent="0.25">
      <c r="A15" s="2" t="s">
        <v>19</v>
      </c>
      <c r="B15">
        <v>85</v>
      </c>
    </row>
    <row r="16" spans="1:2" x14ac:dyDescent="0.25">
      <c r="A16" s="2" t="s">
        <v>12</v>
      </c>
      <c r="B16">
        <v>56</v>
      </c>
    </row>
    <row r="17" spans="1:2" x14ac:dyDescent="0.25">
      <c r="A17" s="2" t="s">
        <v>5</v>
      </c>
      <c r="B17">
        <v>45</v>
      </c>
    </row>
    <row r="18" spans="1:2" x14ac:dyDescent="0.25">
      <c r="A18" s="2" t="s">
        <v>18</v>
      </c>
      <c r="B18">
        <v>35</v>
      </c>
    </row>
    <row r="19" spans="1:2" x14ac:dyDescent="0.25">
      <c r="A19" s="2" t="s">
        <v>25</v>
      </c>
      <c r="B19">
        <v>16</v>
      </c>
    </row>
    <row r="20" spans="1:2" x14ac:dyDescent="0.25">
      <c r="A20" s="2" t="s">
        <v>9</v>
      </c>
      <c r="B20">
        <v>6</v>
      </c>
    </row>
    <row r="21" spans="1:2" x14ac:dyDescent="0.25">
      <c r="A21" s="2" t="s">
        <v>24</v>
      </c>
      <c r="B21">
        <v>5</v>
      </c>
    </row>
    <row r="22" spans="1:2" x14ac:dyDescent="0.25">
      <c r="A22" s="2" t="s">
        <v>8</v>
      </c>
      <c r="B22">
        <v>2</v>
      </c>
    </row>
    <row r="23" spans="1:2" x14ac:dyDescent="0.25">
      <c r="A23" s="2" t="s">
        <v>14</v>
      </c>
      <c r="B23">
        <v>1</v>
      </c>
    </row>
    <row r="24" spans="1:2" x14ac:dyDescent="0.25">
      <c r="A24" s="2" t="s">
        <v>17</v>
      </c>
      <c r="B24">
        <v>1</v>
      </c>
    </row>
    <row r="25" spans="1:2" x14ac:dyDescent="0.25">
      <c r="A25" s="2" t="s">
        <v>30</v>
      </c>
      <c r="B25">
        <v>1582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9DD4-1A32-46E3-BDAC-1C9590BB76D6}">
  <dimension ref="A3:B21"/>
  <sheetViews>
    <sheetView topLeftCell="A6" workbookViewId="0">
      <selection activeCell="J14" sqref="J14"/>
    </sheetView>
  </sheetViews>
  <sheetFormatPr defaultRowHeight="15" x14ac:dyDescent="0.25"/>
  <cols>
    <col min="1" max="1" width="28.42578125" bestFit="1" customWidth="1"/>
    <col min="2" max="2" width="23.42578125" bestFit="1" customWidth="1"/>
    <col min="3" max="3" width="20" bestFit="1" customWidth="1"/>
  </cols>
  <sheetData>
    <row r="3" spans="1:2" x14ac:dyDescent="0.25">
      <c r="A3" s="1" t="s">
        <v>29</v>
      </c>
      <c r="B3" t="s">
        <v>31</v>
      </c>
    </row>
    <row r="4" spans="1:2" x14ac:dyDescent="0.25">
      <c r="A4" s="2" t="s">
        <v>16</v>
      </c>
      <c r="B4" s="4">
        <v>15</v>
      </c>
    </row>
    <row r="5" spans="1:2" x14ac:dyDescent="0.25">
      <c r="A5" s="3" t="s">
        <v>15</v>
      </c>
      <c r="B5" s="4">
        <v>9</v>
      </c>
    </row>
    <row r="6" spans="1:2" x14ac:dyDescent="0.25">
      <c r="A6" s="3" t="s">
        <v>26</v>
      </c>
      <c r="B6" s="4">
        <v>5</v>
      </c>
    </row>
    <row r="7" spans="1:2" x14ac:dyDescent="0.25">
      <c r="A7" s="3" t="s">
        <v>25</v>
      </c>
      <c r="B7" s="4">
        <v>1</v>
      </c>
    </row>
    <row r="8" spans="1:2" x14ac:dyDescent="0.25">
      <c r="A8" s="2" t="s">
        <v>13</v>
      </c>
      <c r="B8" s="4">
        <v>290</v>
      </c>
    </row>
    <row r="9" spans="1:2" x14ac:dyDescent="0.25">
      <c r="A9" s="2" t="s">
        <v>11</v>
      </c>
      <c r="B9" s="4">
        <v>100</v>
      </c>
    </row>
    <row r="10" spans="1:2" x14ac:dyDescent="0.25">
      <c r="A10" s="2" t="s">
        <v>28</v>
      </c>
      <c r="B10" s="4">
        <v>283</v>
      </c>
    </row>
    <row r="11" spans="1:2" x14ac:dyDescent="0.25">
      <c r="A11" s="2" t="s">
        <v>6</v>
      </c>
      <c r="B11" s="4">
        <v>150</v>
      </c>
    </row>
    <row r="12" spans="1:2" x14ac:dyDescent="0.25">
      <c r="A12" s="2" t="s">
        <v>21</v>
      </c>
      <c r="B12" s="4">
        <v>4</v>
      </c>
    </row>
    <row r="13" spans="1:2" x14ac:dyDescent="0.25">
      <c r="A13" s="2" t="s">
        <v>23</v>
      </c>
      <c r="B13" s="4">
        <v>1</v>
      </c>
    </row>
    <row r="14" spans="1:2" x14ac:dyDescent="0.25">
      <c r="A14" s="2" t="s">
        <v>22</v>
      </c>
      <c r="B14" s="4">
        <v>47</v>
      </c>
    </row>
    <row r="15" spans="1:2" x14ac:dyDescent="0.25">
      <c r="A15" s="2" t="s">
        <v>3</v>
      </c>
      <c r="B15" s="4">
        <v>20</v>
      </c>
    </row>
    <row r="16" spans="1:2" x14ac:dyDescent="0.25">
      <c r="A16" s="2" t="s">
        <v>20</v>
      </c>
      <c r="B16" s="4">
        <v>8</v>
      </c>
    </row>
    <row r="17" spans="1:2" x14ac:dyDescent="0.25">
      <c r="A17" s="2" t="s">
        <v>4</v>
      </c>
      <c r="B17" s="4">
        <v>130</v>
      </c>
    </row>
    <row r="18" spans="1:2" x14ac:dyDescent="0.25">
      <c r="A18" s="2" t="s">
        <v>7</v>
      </c>
      <c r="B18" s="4">
        <v>90</v>
      </c>
    </row>
    <row r="19" spans="1:2" x14ac:dyDescent="0.25">
      <c r="A19" s="2" t="s">
        <v>27</v>
      </c>
      <c r="B19" s="4">
        <v>379</v>
      </c>
    </row>
    <row r="20" spans="1:2" x14ac:dyDescent="0.25">
      <c r="A20" s="2" t="s">
        <v>10</v>
      </c>
      <c r="B20" s="4">
        <v>65</v>
      </c>
    </row>
    <row r="21" spans="1:2" x14ac:dyDescent="0.25">
      <c r="A21" s="2" t="s">
        <v>30</v>
      </c>
      <c r="B21" s="4">
        <v>1582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16" workbookViewId="0">
      <selection activeCell="F50" sqref="F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6" x14ac:dyDescent="0.25">
      <c r="A33" t="s">
        <v>19</v>
      </c>
      <c r="B33" t="s">
        <v>23</v>
      </c>
      <c r="C33">
        <v>1</v>
      </c>
    </row>
    <row r="34" spans="1:6" x14ac:dyDescent="0.25">
      <c r="A34" t="s">
        <v>24</v>
      </c>
      <c r="B34" t="s">
        <v>22</v>
      </c>
      <c r="C34">
        <v>1</v>
      </c>
    </row>
    <row r="35" spans="1:6" x14ac:dyDescent="0.25">
      <c r="A35" t="s">
        <v>24</v>
      </c>
      <c r="B35" t="s">
        <v>10</v>
      </c>
      <c r="C35">
        <v>1</v>
      </c>
    </row>
    <row r="36" spans="1:6" x14ac:dyDescent="0.25">
      <c r="A36" t="s">
        <v>24</v>
      </c>
      <c r="B36" t="s">
        <v>7</v>
      </c>
      <c r="C36">
        <v>1</v>
      </c>
    </row>
    <row r="37" spans="1:6" x14ac:dyDescent="0.25">
      <c r="A37" t="s">
        <v>24</v>
      </c>
      <c r="B37" t="s">
        <v>4</v>
      </c>
      <c r="C37">
        <v>2</v>
      </c>
    </row>
    <row r="38" spans="1:6" x14ac:dyDescent="0.25">
      <c r="A38" t="s">
        <v>25</v>
      </c>
      <c r="B38" t="s">
        <v>6</v>
      </c>
      <c r="C38">
        <v>1</v>
      </c>
    </row>
    <row r="39" spans="1:6" x14ac:dyDescent="0.25">
      <c r="A39" t="s">
        <v>25</v>
      </c>
      <c r="B39" t="s">
        <v>16</v>
      </c>
      <c r="C39">
        <v>1</v>
      </c>
    </row>
    <row r="40" spans="1:6" x14ac:dyDescent="0.25">
      <c r="A40" t="s">
        <v>25</v>
      </c>
      <c r="B40" t="s">
        <v>10</v>
      </c>
      <c r="C40">
        <v>11</v>
      </c>
    </row>
    <row r="41" spans="1:6" x14ac:dyDescent="0.25">
      <c r="A41" t="s">
        <v>25</v>
      </c>
      <c r="B41" t="s">
        <v>7</v>
      </c>
      <c r="C41">
        <v>3</v>
      </c>
    </row>
    <row r="42" spans="1:6" x14ac:dyDescent="0.25">
      <c r="A42" t="s">
        <v>26</v>
      </c>
      <c r="B42" t="s">
        <v>6</v>
      </c>
      <c r="C42">
        <v>93</v>
      </c>
    </row>
    <row r="43" spans="1:6" x14ac:dyDescent="0.25">
      <c r="A43" t="s">
        <v>26</v>
      </c>
      <c r="B43" t="s">
        <v>13</v>
      </c>
      <c r="C43">
        <v>248</v>
      </c>
    </row>
    <row r="44" spans="1:6" x14ac:dyDescent="0.25">
      <c r="A44" t="s">
        <v>26</v>
      </c>
      <c r="B44" t="s">
        <v>27</v>
      </c>
      <c r="C44">
        <v>379</v>
      </c>
    </row>
    <row r="45" spans="1:6" x14ac:dyDescent="0.25">
      <c r="A45" t="s">
        <v>26</v>
      </c>
      <c r="B45" t="s">
        <v>7</v>
      </c>
      <c r="C45">
        <v>53</v>
      </c>
      <c r="E45" t="s">
        <v>32</v>
      </c>
      <c r="F45">
        <f>SUM(C:C)</f>
        <v>1582</v>
      </c>
    </row>
    <row r="46" spans="1:6" x14ac:dyDescent="0.25">
      <c r="A46" t="s">
        <v>26</v>
      </c>
      <c r="B46" t="s">
        <v>10</v>
      </c>
      <c r="C46">
        <v>32</v>
      </c>
      <c r="E46" t="s">
        <v>33</v>
      </c>
      <c r="F46">
        <f>AVERAGE(C:C)</f>
        <v>32.285714285714285</v>
      </c>
    </row>
    <row r="47" spans="1:6" x14ac:dyDescent="0.25">
      <c r="A47" t="s">
        <v>26</v>
      </c>
      <c r="B47" t="s">
        <v>11</v>
      </c>
      <c r="C47">
        <v>98</v>
      </c>
      <c r="E47" t="s">
        <v>34</v>
      </c>
      <c r="F47">
        <f>MIN(C:C)</f>
        <v>1</v>
      </c>
    </row>
    <row r="48" spans="1:6" x14ac:dyDescent="0.25">
      <c r="A48" t="s">
        <v>26</v>
      </c>
      <c r="B48" t="s">
        <v>28</v>
      </c>
      <c r="C48">
        <v>276</v>
      </c>
      <c r="E48" t="s">
        <v>35</v>
      </c>
      <c r="F48">
        <f>MAX(C:C)</f>
        <v>379</v>
      </c>
    </row>
    <row r="49" spans="1:6" x14ac:dyDescent="0.25">
      <c r="A49" t="s">
        <v>26</v>
      </c>
      <c r="B49" t="s">
        <v>16</v>
      </c>
      <c r="C49">
        <v>5</v>
      </c>
      <c r="E49" t="s">
        <v>36</v>
      </c>
      <c r="F49">
        <f>COUNT(C:C)</f>
        <v>49</v>
      </c>
    </row>
    <row r="50" spans="1:6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de</dc:creator>
  <cp:lastModifiedBy>Jouri ii</cp:lastModifiedBy>
  <dcterms:created xsi:type="dcterms:W3CDTF">2020-09-01T17:18:12Z</dcterms:created>
  <dcterms:modified xsi:type="dcterms:W3CDTF">2025-03-25T03:21:36Z</dcterms:modified>
</cp:coreProperties>
</file>